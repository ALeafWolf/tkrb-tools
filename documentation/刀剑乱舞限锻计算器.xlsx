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<sst xmlns="http://schemas.openxmlformats.org/spreadsheetml/2006/main" count="27" uniqueCount="27">
  <si>
    <t>限锻公式</t>
  </si>
  <si>
    <t>保底次数</t>
  </si>
  <si>
    <t>保底积分</t>
  </si>
  <si>
    <t>保底资源</t>
  </si>
  <si>
    <t>当前积分</t>
  </si>
  <si>
    <t>保底积分差</t>
  </si>
  <si>
    <t>裸锻</t>
  </si>
  <si>
    <t>加成</t>
  </si>
  <si>
    <t>持有数量</t>
  </si>
  <si>
    <t>积分</t>
  </si>
  <si>
    <t>所需资源</t>
  </si>
  <si>
    <t>梅</t>
  </si>
  <si>
    <t>御札积分差</t>
  </si>
  <si>
    <t>竹</t>
  </si>
  <si>
    <t>次数差</t>
  </si>
  <si>
    <t>松</t>
  </si>
  <si>
    <t>资源差</t>
  </si>
  <si>
    <t>富士</t>
  </si>
  <si>
    <t>御札所需资源</t>
  </si>
  <si>
    <t>综合</t>
  </si>
  <si>
    <t>现有资源</t>
  </si>
  <si>
    <t>保底资源差</t>
  </si>
  <si>
    <t>御札资源差</t>
  </si>
  <si>
    <t>木炭</t>
  </si>
  <si>
    <t>玉刚</t>
  </si>
  <si>
    <t>冷却材</t>
  </si>
  <si>
    <t>砥石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</si>
</sst>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700.0</v>
      </c>
      <c r="D1" s="1" t="s">
        <v>1</v>
      </c>
      <c r="E1" s="2">
        <f>E3/B4</f>
        <v>120</v>
      </c>
    </row>
    <row r="2">
      <c r="A2" s="1" t="s">
        <v>2</v>
      </c>
      <c r="B2" s="1">
        <v>5000.0</v>
      </c>
      <c r="D2" s="1" t="s">
        <v>3</v>
      </c>
      <c r="E2" s="2">
        <f>B1*E1</f>
        <v>84000</v>
      </c>
    </row>
    <row r="3">
      <c r="A3" s="1" t="s">
        <v>4</v>
      </c>
      <c r="B3" s="1">
        <v>4400.0</v>
      </c>
      <c r="D3" s="1" t="s">
        <v>5</v>
      </c>
      <c r="E3" s="1">
        <f>B2-B3</f>
        <v>600</v>
      </c>
    </row>
    <row r="4">
      <c r="A4" s="1" t="s">
        <v>6</v>
      </c>
      <c r="B4" s="1">
        <v>5.0</v>
      </c>
    </row>
    <row r="6">
      <c r="B6" s="1" t="s">
        <v>7</v>
      </c>
      <c r="C6" s="1" t="s">
        <v>8</v>
      </c>
      <c r="D6" s="1" t="s">
        <v>9</v>
      </c>
      <c r="E6" s="1" t="s">
        <v>10</v>
      </c>
    </row>
    <row r="7">
      <c r="A7" s="1" t="s">
        <v>11</v>
      </c>
      <c r="B7" s="1">
        <v>10.0</v>
      </c>
      <c r="C7" s="1">
        <v>0.0</v>
      </c>
      <c r="D7" s="2">
        <f t="shared" ref="D7:D10" si="1">B7*C7</f>
        <v>0</v>
      </c>
      <c r="E7" s="2">
        <f>C7*B1</f>
        <v>0</v>
      </c>
      <c r="G7" s="1" t="s">
        <v>12</v>
      </c>
      <c r="H7" s="2">
        <f>E3-D11</f>
        <v>240</v>
      </c>
    </row>
    <row r="8">
      <c r="A8" s="1" t="s">
        <v>13</v>
      </c>
      <c r="B8" s="1">
        <v>15.0</v>
      </c>
      <c r="C8" s="1">
        <v>0.0</v>
      </c>
      <c r="D8" s="2">
        <f t="shared" si="1"/>
        <v>0</v>
      </c>
      <c r="E8" s="2">
        <f>C8*B1</f>
        <v>0</v>
      </c>
      <c r="G8" s="1" t="s">
        <v>14</v>
      </c>
      <c r="H8" s="2">
        <f>H7/B4</f>
        <v>48</v>
      </c>
    </row>
    <row r="9">
      <c r="A9" s="1" t="s">
        <v>15</v>
      </c>
      <c r="B9" s="1">
        <v>20.0</v>
      </c>
      <c r="C9" s="1">
        <v>0.0</v>
      </c>
      <c r="D9" s="2">
        <f t="shared" si="1"/>
        <v>0</v>
      </c>
      <c r="E9" s="2">
        <f>C9*B1</f>
        <v>0</v>
      </c>
      <c r="G9" s="1" t="s">
        <v>16</v>
      </c>
      <c r="H9" s="2">
        <f>H8*B1</f>
        <v>33600</v>
      </c>
    </row>
    <row r="10">
      <c r="A10" s="1" t="s">
        <v>17</v>
      </c>
      <c r="B10" s="1">
        <v>60.0</v>
      </c>
      <c r="C10" s="1">
        <v>6.0</v>
      </c>
      <c r="D10" s="2">
        <f t="shared" si="1"/>
        <v>360</v>
      </c>
      <c r="E10" s="2">
        <f>C10*B1</f>
        <v>4200</v>
      </c>
      <c r="G10" s="1" t="s">
        <v>18</v>
      </c>
      <c r="H10" s="2">
        <f>E11+H9</f>
        <v>37800</v>
      </c>
    </row>
    <row r="11">
      <c r="A11" s="1" t="s">
        <v>19</v>
      </c>
      <c r="C11" s="2">
        <f t="shared" ref="C11:E11" si="2">C7+C8+C9+C10</f>
        <v>6</v>
      </c>
      <c r="D11" s="2">
        <f t="shared" si="2"/>
        <v>360</v>
      </c>
      <c r="E11" s="2">
        <f t="shared" si="2"/>
        <v>4200</v>
      </c>
    </row>
    <row r="13">
      <c r="B13" s="1" t="s">
        <v>20</v>
      </c>
      <c r="C13" s="1" t="s">
        <v>21</v>
      </c>
      <c r="D13" s="1" t="s">
        <v>22</v>
      </c>
    </row>
    <row r="14">
      <c r="A14" s="1" t="s">
        <v>23</v>
      </c>
      <c r="B14" s="1">
        <v>86601.0</v>
      </c>
      <c r="C14" s="2">
        <f>E2-B14</f>
        <v>-2601</v>
      </c>
      <c r="D14" s="2">
        <f>H10-B14</f>
        <v>-48801</v>
      </c>
    </row>
    <row r="15">
      <c r="A15" s="1" t="s">
        <v>24</v>
      </c>
      <c r="B15" s="1">
        <v>84990.0</v>
      </c>
      <c r="C15" s="2">
        <f>E2-B15</f>
        <v>-990</v>
      </c>
      <c r="D15" s="2">
        <f>H10-B15</f>
        <v>-47190</v>
      </c>
    </row>
    <row r="16">
      <c r="A16" s="1" t="s">
        <v>25</v>
      </c>
      <c r="B16" s="1">
        <v>166545.0</v>
      </c>
      <c r="C16" s="2">
        <f>E2-B16</f>
        <v>-82545</v>
      </c>
      <c r="D16" s="2">
        <f>H10-B16</f>
        <v>-128745</v>
      </c>
    </row>
    <row r="17">
      <c r="A17" s="1" t="s">
        <v>26</v>
      </c>
      <c r="B17" s="1">
        <v>41593.0</v>
      </c>
      <c r="C17" s="2">
        <f>E2-B17</f>
        <v>42407</v>
      </c>
      <c r="D17" s="2">
        <f>H10-B17</f>
        <v>-3793</v>
      </c>
    </row>
  </sheetData>
  <drawing r:id="rId1"/>
</worksheet>
</file>